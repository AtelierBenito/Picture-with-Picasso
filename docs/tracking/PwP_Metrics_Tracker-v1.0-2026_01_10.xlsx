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Log" sheetId="1" state="visible" r:id="rId1"/>
    <sheet name="Daily Summary" sheetId="2" state="visible" r:id="rId2"/>
    <sheet name="Cost Analysis" sheetId="3" state="visible" r:id="rId3"/>
    <sheet name="Performance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165" fontId="4" fillId="0" borderId="1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15" customWidth="1" min="5" max="5"/>
    <col width="10" customWidth="1" min="6" max="6"/>
    <col width="25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0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12" customWidth="1" min="23" max="23"/>
    <col width="30" customWidth="1" min="24" max="24"/>
    <col width="30" customWidth="1" min="25" max="2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Execution ID</t>
        </is>
      </c>
      <c r="D1" s="1" t="inlineStr">
        <is>
          <t>Input Source</t>
        </is>
      </c>
      <c r="E1" s="1" t="inlineStr">
        <is>
          <t>User ID</t>
        </is>
      </c>
      <c r="F1" s="1" t="inlineStr">
        <is>
          <t>Status</t>
        </is>
      </c>
      <c r="G1" s="1" t="inlineStr">
        <is>
          <t>Picasso Image</t>
        </is>
      </c>
      <c r="H1" s="1" t="inlineStr">
        <is>
          <t>Kling Time (s)</t>
        </is>
      </c>
      <c r="I1" s="1" t="inlineStr">
        <is>
          <t>TTS Time (s)</t>
        </is>
      </c>
      <c r="J1" s="1" t="inlineStr">
        <is>
          <t>Lip Sync Time (s)</t>
        </is>
      </c>
      <c r="K1" s="1" t="inlineStr">
        <is>
          <t>Compress Time (s)</t>
        </is>
      </c>
      <c r="L1" s="1" t="inlineStr">
        <is>
          <t>Total Time (s)</t>
        </is>
      </c>
      <c r="M1" s="1" t="inlineStr">
        <is>
          <t>Original Size (MB)</t>
        </is>
      </c>
      <c r="N1" s="1" t="inlineStr">
        <is>
          <t>Final Size (MB)</t>
        </is>
      </c>
      <c r="O1" s="1" t="inlineStr">
        <is>
          <t>Compression %</t>
        </is>
      </c>
      <c r="P1" s="1" t="inlineStr">
        <is>
          <t>Kling Cost</t>
        </is>
      </c>
      <c r="Q1" s="1" t="inlineStr">
        <is>
          <t>TTS Cost</t>
        </is>
      </c>
      <c r="R1" s="1" t="inlineStr">
        <is>
          <t>Lip Sync Cost</t>
        </is>
      </c>
      <c r="S1" s="1" t="inlineStr">
        <is>
          <t>Cloudinary Cost</t>
        </is>
      </c>
      <c r="T1" s="1" t="inlineStr">
        <is>
          <t>Total Cost</t>
        </is>
      </c>
      <c r="U1" s="1" t="inlineStr">
        <is>
          <t>Kling Retries</t>
        </is>
      </c>
      <c r="V1" s="1" t="inlineStr">
        <is>
          <t>TTS Retries</t>
        </is>
      </c>
      <c r="W1" s="1" t="inlineStr">
        <is>
          <t>LS Retries</t>
        </is>
      </c>
      <c r="X1" s="1" t="inlineStr">
        <is>
          <t>Error Message</t>
        </is>
      </c>
      <c r="Y1" s="1" t="inlineStr">
        <is>
          <t>Notes</t>
        </is>
      </c>
    </row>
    <row r="2">
      <c r="A2" s="2" t="inlineStr">
        <is>
          <t>2026-01-10</t>
        </is>
      </c>
      <c r="B2" s="2" t="inlineStr">
        <is>
          <t>12:47:50</t>
        </is>
      </c>
      <c r="C2" s="2" t="inlineStr">
        <is>
          <t>abc123</t>
        </is>
      </c>
      <c r="D2" s="2" t="inlineStr">
        <is>
          <t>telegram</t>
        </is>
      </c>
      <c r="E2" s="2" t="inlineStr">
        <is>
          <t>123456789</t>
        </is>
      </c>
      <c r="F2" s="2" t="inlineStr">
        <is>
          <t>completed</t>
        </is>
      </c>
      <c r="G2" s="2" t="inlineStr">
        <is>
          <t>picasso_studio_1927.jpg</t>
        </is>
      </c>
      <c r="H2" s="2" t="n">
        <v>180</v>
      </c>
      <c r="I2" s="2" t="n">
        <v>5</v>
      </c>
      <c r="J2" s="2" t="n">
        <v>30</v>
      </c>
      <c r="K2" s="2" t="n">
        <v>3</v>
      </c>
      <c r="L2" s="3">
        <f>SUM(H2:K2)</f>
        <v/>
      </c>
      <c r="M2" s="2" t="n">
        <v>22.5</v>
      </c>
      <c r="N2" s="2" t="n">
        <v>7.2</v>
      </c>
      <c r="O2" s="4">
        <f>1-(N2/M2)</f>
        <v/>
      </c>
      <c r="P2" s="5" t="n">
        <v>1</v>
      </c>
      <c r="Q2" s="5" t="n">
        <v>0.05</v>
      </c>
      <c r="R2" s="5" t="n">
        <v>0.2</v>
      </c>
      <c r="S2" s="5" t="n">
        <v>0.01</v>
      </c>
      <c r="T2" s="6">
        <f>SUM(P2:S2)</f>
        <v/>
      </c>
      <c r="U2" s="2" t="n"/>
      <c r="V2" s="2" t="n"/>
      <c r="W2" s="2" t="n"/>
      <c r="X2" s="2" t="n"/>
      <c r="Y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8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Total Executions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Success Rate</t>
        </is>
      </c>
      <c r="F1" s="1" t="inlineStr">
        <is>
          <t>Telegram</t>
        </is>
      </c>
      <c r="G1" s="1" t="inlineStr">
        <is>
          <t>Form</t>
        </is>
      </c>
      <c r="H1" s="1" t="inlineStr">
        <is>
          <t>Total Cost</t>
        </is>
      </c>
      <c r="I1" s="1" t="inlineStr">
        <is>
          <t>Kling Cost</t>
        </is>
      </c>
      <c r="J1" s="1" t="inlineStr">
        <is>
          <t>TTS Cost</t>
        </is>
      </c>
      <c r="K1" s="1" t="inlineStr">
        <is>
          <t>Lip Sync Cost</t>
        </is>
      </c>
      <c r="L1" s="1" t="inlineStr">
        <is>
          <t>Cloudinary Cost</t>
        </is>
      </c>
      <c r="M1" s="1" t="inlineStr">
        <is>
          <t>Avg Time (s)</t>
        </is>
      </c>
      <c r="N1" s="1" t="inlineStr">
        <is>
          <t>Avg Size (MB)</t>
        </is>
      </c>
      <c r="O1" s="1" t="inlineStr">
        <is>
          <t>Avg Compression</t>
        </is>
      </c>
    </row>
    <row r="2">
      <c r="A2" s="3" t="inlineStr">
        <is>
          <t>2026-01-10</t>
        </is>
      </c>
      <c r="B2" s="3">
        <f>COUNTIF('Execution Log'!A:A,A2)</f>
        <v/>
      </c>
      <c r="C2" s="3">
        <f>COUNTIFS('Execution Log'!A:A,A2,'Execution Log'!F:F,"completed")</f>
        <v/>
      </c>
      <c r="D2" s="3">
        <f>B2-C2</f>
        <v/>
      </c>
      <c r="E2" s="4">
        <f>IF(B2&gt;0,C2/B2,0)</f>
        <v/>
      </c>
      <c r="F2" s="3">
        <f>COUNTIFS('Execution Log'!A:A,A2,'Execution Log'!D:D,"telegram")</f>
        <v/>
      </c>
      <c r="G2" s="3">
        <f>COUNTIFS('Execution Log'!A:A,A2,'Execution Log'!D:D,"form")</f>
        <v/>
      </c>
      <c r="H2" s="6">
        <f>SUMIF('Execution Log'!A:A,A2,'Execution Log'!T:T)</f>
        <v/>
      </c>
      <c r="I2" s="6">
        <f>SUMIF('Execution Log'!A:A,A2,'Execution Log'!P:P)</f>
        <v/>
      </c>
      <c r="J2" s="6">
        <f>SUMIF('Execution Log'!A:A,A2,'Execution Log'!Q:Q)</f>
        <v/>
      </c>
      <c r="K2" s="6">
        <f>SUMIF('Execution Log'!A:A,A2,'Execution Log'!R:R)</f>
        <v/>
      </c>
      <c r="L2" s="6">
        <f>SUMIF('Execution Log'!A:A,A2,'Execution Log'!S:S)</f>
        <v/>
      </c>
      <c r="M2" s="3">
        <f>AVERAGEIF('Execution Log'!A:A,A2,'Execution Log'!L:L)</f>
        <v/>
      </c>
      <c r="N2" s="3">
        <f>AVERAGEIF('Execution Log'!A:A,A2,'Execution Log'!N:N)</f>
        <v/>
      </c>
      <c r="O2" s="4">
        <f>AVERAGEIF('Execution Log'!A:A,A2,'Execution Log'!O:O)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COST ANALYSIS DASHBOARD</t>
        </is>
      </c>
    </row>
    <row r="2">
      <c r="A2" s="1" t="inlineStr">
        <is>
          <t>Service</t>
        </is>
      </c>
      <c r="B2" s="1" t="inlineStr">
        <is>
          <t>Unit Cost</t>
        </is>
      </c>
      <c r="C2" s="1" t="inlineStr">
        <is>
          <t>Total Units</t>
        </is>
      </c>
      <c r="D2" s="1" t="inlineStr">
        <is>
          <t>Total Cost</t>
        </is>
      </c>
    </row>
    <row r="3">
      <c r="A3" s="2" t="inlineStr">
        <is>
          <t>Kling O1</t>
        </is>
      </c>
      <c r="B3" s="5" t="n">
        <v>1</v>
      </c>
      <c r="C3" s="2">
        <f>COUNTA('Execution Log'!P:P)-1</f>
        <v/>
      </c>
      <c r="D3" s="5">
        <f>B3*C3</f>
        <v/>
      </c>
    </row>
    <row r="4">
      <c r="A4" s="2" t="inlineStr">
        <is>
          <t>ElevenLabs TTS</t>
        </is>
      </c>
      <c r="B4" s="5" t="n">
        <v>0.05</v>
      </c>
      <c r="C4" s="2">
        <f>COUNTA('Execution Log'!Q:Q)-1</f>
        <v/>
      </c>
      <c r="D4" s="5">
        <f>B4*C4</f>
        <v/>
      </c>
    </row>
    <row r="5">
      <c r="A5" s="2" t="inlineStr">
        <is>
          <t>LatentSync</t>
        </is>
      </c>
      <c r="B5" s="5" t="n">
        <v>0.2</v>
      </c>
      <c r="C5" s="2">
        <f>COUNTA('Execution Log'!R:R)-1</f>
        <v/>
      </c>
      <c r="D5" s="5">
        <f>B5*C5</f>
        <v/>
      </c>
    </row>
    <row r="6">
      <c r="A6" s="2" t="inlineStr">
        <is>
          <t>Cloudinary</t>
        </is>
      </c>
      <c r="B6" s="5" t="n">
        <v>0.01</v>
      </c>
      <c r="C6" s="2">
        <f>COUNTA('Execution Log'!S:S)-1</f>
        <v/>
      </c>
      <c r="D6" s="5">
        <f>B6*C6</f>
        <v/>
      </c>
    </row>
    <row r="7">
      <c r="A7" s="2" t="inlineStr"/>
      <c r="B7" s="5" t="inlineStr"/>
      <c r="C7" s="2" t="inlineStr"/>
      <c r="D7" s="5" t="inlineStr"/>
    </row>
    <row r="8">
      <c r="A8" s="2" t="inlineStr">
        <is>
          <t>TOTAL</t>
        </is>
      </c>
      <c r="B8" s="5" t="inlineStr"/>
      <c r="C8" s="2" t="inlineStr"/>
      <c r="D8" s="8">
        <f>SUM(D3:D6)</f>
        <v/>
      </c>
    </row>
    <row r="11">
      <c r="A11" s="9" t="inlineStr">
        <is>
          <t>COST PER VIDEO</t>
        </is>
      </c>
    </row>
    <row r="12">
      <c r="A12" t="inlineStr">
        <is>
          <t>Average Cost/Video:</t>
        </is>
      </c>
      <c r="B12" s="10">
        <f>IF(C3&gt;0,D8/C3,0)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7" t="inlineStr">
        <is>
          <t>PERFORMANCE METRICS</t>
        </is>
      </c>
    </row>
    <row r="2">
      <c r="A2" s="1" t="inlineStr">
        <is>
          <t>Metric</t>
        </is>
      </c>
      <c r="B2" s="1" t="inlineStr">
        <is>
          <t>Value</t>
        </is>
      </c>
      <c r="C2" s="1" t="inlineStr">
        <is>
          <t>Target</t>
        </is>
      </c>
    </row>
    <row r="3">
      <c r="A3" s="2" t="inlineStr">
        <is>
          <t>Total Executions</t>
        </is>
      </c>
      <c r="B3" s="2">
        <f>COUNTA('Execution Log'!C:C)-1</f>
        <v/>
      </c>
      <c r="C3" s="2" t="inlineStr">
        <is>
          <t>-</t>
        </is>
      </c>
    </row>
    <row r="4">
      <c r="A4" s="2" t="inlineStr">
        <is>
          <t>Success Rate</t>
        </is>
      </c>
      <c r="B4" s="11">
        <f>COUNTIF('Execution Log'!F:F,"completed")/(COUNTA('Execution Log'!F:F)-1)</f>
        <v/>
      </c>
      <c r="C4" s="2" t="inlineStr">
        <is>
          <t>&gt;95%</t>
        </is>
      </c>
    </row>
    <row r="5">
      <c r="A5" s="2" t="inlineStr">
        <is>
          <t>Avg Processing Time (s)</t>
        </is>
      </c>
      <c r="B5" s="2">
        <f>AVERAGE('Execution Log'!L:L)</f>
        <v/>
      </c>
      <c r="C5" s="2" t="inlineStr">
        <is>
          <t>&lt;300</t>
        </is>
      </c>
    </row>
    <row r="6">
      <c r="A6" s="2" t="inlineStr">
        <is>
          <t>Avg Original Size (MB)</t>
        </is>
      </c>
      <c r="B6" s="2">
        <f>AVERAGE('Execution Log'!M:M)</f>
        <v/>
      </c>
      <c r="C6" s="2" t="inlineStr">
        <is>
          <t>-</t>
        </is>
      </c>
    </row>
    <row r="7">
      <c r="A7" s="2" t="inlineStr">
        <is>
          <t>Avg Final Size (MB)</t>
        </is>
      </c>
      <c r="B7" s="2">
        <f>AVERAGE('Execution Log'!N:N)</f>
        <v/>
      </c>
      <c r="C7" s="2" t="inlineStr">
        <is>
          <t>5-10</t>
        </is>
      </c>
    </row>
    <row r="8">
      <c r="A8" s="2" t="inlineStr">
        <is>
          <t>Avg Compression</t>
        </is>
      </c>
      <c r="B8" s="11">
        <f>AVERAGE('Execution Log'!O:O)</f>
        <v/>
      </c>
      <c r="C8" s="2" t="inlineStr">
        <is>
          <t>&gt;60%</t>
        </is>
      </c>
    </row>
    <row r="9">
      <c r="A9" s="2" t="inlineStr">
        <is>
          <t>Avg Cost/Video</t>
        </is>
      </c>
      <c r="B9" s="5">
        <f>AVERAGE('Execution Log'!T:T)</f>
        <v/>
      </c>
      <c r="C9" s="2" t="inlineStr">
        <is>
          <t>~$1.26</t>
        </is>
      </c>
    </row>
    <row r="10">
      <c r="A10" s="2" t="inlineStr"/>
      <c r="B10" s="2" t="inlineStr"/>
      <c r="C10" s="2" t="inlineStr"/>
    </row>
    <row r="11">
      <c r="A11" s="2" t="inlineStr">
        <is>
          <t>Kling Avg Retries</t>
        </is>
      </c>
      <c r="B11" s="2">
        <f>AVERAGE('Execution Log'!U:U)</f>
        <v/>
      </c>
      <c r="C11" s="2" t="inlineStr">
        <is>
          <t>&lt;15</t>
        </is>
      </c>
    </row>
    <row r="12">
      <c r="A12" s="2" t="inlineStr">
        <is>
          <t>TTS Avg Retries</t>
        </is>
      </c>
      <c r="B12" s="2">
        <f>AVERAGE('Execution Log'!V:V)</f>
        <v/>
      </c>
      <c r="C12" s="2" t="inlineStr">
        <is>
          <t>&lt;5</t>
        </is>
      </c>
    </row>
    <row r="13">
      <c r="A13" s="2" t="inlineStr">
        <is>
          <t>Lip Sync Avg Retries</t>
        </is>
      </c>
      <c r="B13" s="2">
        <f>AVERAGE('Execution Log'!W:W)</f>
        <v/>
      </c>
      <c r="C13" s="2" t="inlineStr">
        <is>
          <t>&lt;10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8" customWidth="1" min="4" max="4"/>
  </cols>
  <sheetData>
    <row r="1">
      <c r="A1" s="7" t="inlineStr">
        <is>
          <t>DATA DICTIONARY REFERENCE</t>
        </is>
      </c>
    </row>
    <row r="3">
      <c r="A3" s="1" t="inlineStr">
        <is>
          <t>Field</t>
        </is>
      </c>
      <c r="B3" s="1" t="inlineStr">
        <is>
          <t>Type</t>
        </is>
      </c>
      <c r="C3" s="1" t="inlineStr">
        <is>
          <t>Description</t>
        </is>
      </c>
      <c r="D3" s="1" t="inlineStr">
        <is>
          <t>Phase</t>
        </is>
      </c>
    </row>
    <row r="4">
      <c r="A4" s="2" t="inlineStr">
        <is>
          <t>executionId</t>
        </is>
      </c>
      <c r="B4" s="2" t="inlineStr">
        <is>
          <t>string</t>
        </is>
      </c>
      <c r="C4" s="2" t="inlineStr">
        <is>
          <t>n8n workflow execution ID</t>
        </is>
      </c>
      <c r="D4" s="2" t="inlineStr">
        <is>
          <t>1</t>
        </is>
      </c>
    </row>
    <row r="5">
      <c r="A5" s="2" t="inlineStr">
        <is>
          <t>inputSource</t>
        </is>
      </c>
      <c r="B5" s="2" t="inlineStr">
        <is>
          <t>enum</t>
        </is>
      </c>
      <c r="C5" s="2" t="inlineStr">
        <is>
          <t>telegram or form</t>
        </is>
      </c>
      <c r="D5" s="2" t="inlineStr">
        <is>
          <t>1</t>
        </is>
      </c>
    </row>
    <row r="6">
      <c r="A6" s="2" t="inlineStr">
        <is>
          <t>chatId</t>
        </is>
      </c>
      <c r="B6" s="2" t="inlineStr">
        <is>
          <t>string</t>
        </is>
      </c>
      <c r="C6" s="2" t="inlineStr">
        <is>
          <t>Telegram chat ID</t>
        </is>
      </c>
      <c r="D6" s="2" t="inlineStr">
        <is>
          <t>1</t>
        </is>
      </c>
    </row>
    <row r="7">
      <c r="A7" s="2" t="inlineStr">
        <is>
          <t>userEmail</t>
        </is>
      </c>
      <c r="B7" s="2" t="inlineStr">
        <is>
          <t>string</t>
        </is>
      </c>
      <c r="C7" s="2" t="inlineStr">
        <is>
          <t>Form user email</t>
        </is>
      </c>
      <c r="D7" s="2" t="inlineStr">
        <is>
          <t>1</t>
        </is>
      </c>
    </row>
    <row r="8">
      <c r="A8" s="2" t="inlineStr">
        <is>
          <t>klingRequestId</t>
        </is>
      </c>
      <c r="B8" s="2" t="inlineStr">
        <is>
          <t>string</t>
        </is>
      </c>
      <c r="C8" s="2" t="inlineStr">
        <is>
          <t>Kling API request ID</t>
        </is>
      </c>
      <c r="D8" s="2" t="inlineStr">
        <is>
          <t>1</t>
        </is>
      </c>
    </row>
    <row r="9">
      <c r="A9" s="2" t="inlineStr">
        <is>
          <t>klingStatus</t>
        </is>
      </c>
      <c r="B9" s="2" t="inlineStr">
        <is>
          <t>enum</t>
        </is>
      </c>
      <c r="C9" s="2" t="inlineStr">
        <is>
          <t>IN_QUEUE, IN_PROGRESS, COMPLETED, FAILED</t>
        </is>
      </c>
      <c r="D9" s="2" t="inlineStr">
        <is>
          <t>1</t>
        </is>
      </c>
    </row>
    <row r="10">
      <c r="A10" s="2" t="inlineStr">
        <is>
          <t>klingVideoUrl</t>
        </is>
      </c>
      <c r="B10" s="2" t="inlineStr">
        <is>
          <t>string</t>
        </is>
      </c>
      <c r="C10" s="2" t="inlineStr">
        <is>
          <t>Generated video URL</t>
        </is>
      </c>
      <c r="D10" s="2" t="inlineStr">
        <is>
          <t>1</t>
        </is>
      </c>
    </row>
    <row r="11">
      <c r="A11" s="2" t="inlineStr">
        <is>
          <t>ttsRequestId</t>
        </is>
      </c>
      <c r="B11" s="2" t="inlineStr">
        <is>
          <t>string</t>
        </is>
      </c>
      <c r="C11" s="2" t="inlineStr">
        <is>
          <t>ElevenLabs request ID</t>
        </is>
      </c>
      <c r="D11" s="2" t="inlineStr">
        <is>
          <t>2</t>
        </is>
      </c>
    </row>
    <row r="12">
      <c r="A12" s="2" t="inlineStr">
        <is>
          <t>ttsAudioUrl</t>
        </is>
      </c>
      <c r="B12" s="2" t="inlineStr">
        <is>
          <t>string</t>
        </is>
      </c>
      <c r="C12" s="2" t="inlineStr">
        <is>
          <t>Generated audio URL</t>
        </is>
      </c>
      <c r="D12" s="2" t="inlineStr">
        <is>
          <t>2</t>
        </is>
      </c>
    </row>
    <row r="13">
      <c r="A13" s="2" t="inlineStr">
        <is>
          <t>latentSyncVideoUrl</t>
        </is>
      </c>
      <c r="B13" s="2" t="inlineStr">
        <is>
          <t>string</t>
        </is>
      </c>
      <c r="C13" s="2" t="inlineStr">
        <is>
          <t>Lip-synced video URL</t>
        </is>
      </c>
      <c r="D13" s="2" t="inlineStr">
        <is>
          <t>2</t>
        </is>
      </c>
    </row>
    <row r="14">
      <c r="A14" s="2" t="inlineStr">
        <is>
          <t>cloudinaryPublicId</t>
        </is>
      </c>
      <c r="B14" s="2" t="inlineStr">
        <is>
          <t>string</t>
        </is>
      </c>
      <c r="C14" s="2" t="inlineStr">
        <is>
          <t>Cloudinary asset ID</t>
        </is>
      </c>
      <c r="D14" s="2" t="inlineStr">
        <is>
          <t>3</t>
        </is>
      </c>
    </row>
    <row r="15">
      <c r="A15" s="2" t="inlineStr">
        <is>
          <t>compressedVideoUrl</t>
        </is>
      </c>
      <c r="B15" s="2" t="inlineStr">
        <is>
          <t>string</t>
        </is>
      </c>
      <c r="C15" s="2" t="inlineStr">
        <is>
          <t>Optimized video URL</t>
        </is>
      </c>
      <c r="D15" s="2" t="inlineStr">
        <is>
          <t>3</t>
        </is>
      </c>
    </row>
    <row r="16">
      <c r="A16" s="2" t="inlineStr">
        <is>
          <t>internalFilename</t>
        </is>
      </c>
      <c r="B16" s="2" t="inlineStr">
        <is>
          <t>string</t>
        </is>
      </c>
      <c r="C16" s="2" t="inlineStr">
        <is>
          <t>Archive filename</t>
        </is>
      </c>
      <c r="D16" s="2" t="inlineStr">
        <is>
          <t>3</t>
        </is>
      </c>
    </row>
    <row r="17">
      <c r="A17" s="2" t="inlineStr">
        <is>
          <t>externalFilename</t>
        </is>
      </c>
      <c r="B17" s="2" t="inlineStr">
        <is>
          <t>string</t>
        </is>
      </c>
      <c r="C17" s="2" t="inlineStr">
        <is>
          <t>User-facing filename</t>
        </is>
      </c>
      <c r="D17" s="2" t="inlineStr">
        <is>
          <t>3</t>
        </is>
      </c>
    </row>
    <row r="18">
      <c r="A18" s="2" t="inlineStr">
        <is>
          <t>totalCost</t>
        </is>
      </c>
      <c r="B18" s="2" t="inlineStr">
        <is>
          <t>number</t>
        </is>
      </c>
      <c r="C18" s="2" t="inlineStr">
        <is>
          <t>Sum of all service costs</t>
        </is>
      </c>
      <c r="D18" s="2" t="inlineStr">
        <is>
          <t>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2026-01-10T17:47:50Z</dcterms:created>
  <dcterms:modified xsi:type="dcterms:W3CDTF">2026-01-10T17:47:50Z</dcterms:modified>
</cp:coreProperties>
</file>